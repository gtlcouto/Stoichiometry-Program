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90" windowWidth="15600" windowHeight="7905"/>
  </bookViews>
  <sheets>
    <sheet name="Your Calculator" sheetId="2" r:id="rId1"/>
    <sheet name="Expected Results" sheetId="1" r:id="rId2"/>
  </sheets>
  <functionGroups builtInGroupCount="17"/>
  <calcPr calcId="145621"/>
</workbook>
</file>

<file path=xl/calcChain.xml><?xml version="1.0" encoding="utf-8"?>
<calcChain xmlns="http://schemas.openxmlformats.org/spreadsheetml/2006/main">
  <c r="D12" i="2" l="1"/>
  <c r="D5" i="2"/>
  <c r="D10" i="2"/>
  <c r="D9" i="2"/>
  <c r="D11" i="2"/>
  <c r="D4" i="2"/>
  <c r="D3" i="2"/>
  <c r="D6" i="2"/>
  <c r="D7" i="2"/>
  <c r="D8" i="2"/>
  <c r="C12" i="2"/>
  <c r="C11" i="2"/>
  <c r="C10" i="2"/>
  <c r="C9" i="2"/>
  <c r="C8" i="2"/>
  <c r="C7" i="2"/>
  <c r="C6" i="2"/>
  <c r="C5" i="2"/>
  <c r="C4" i="2"/>
  <c r="C3" i="2"/>
</calcChain>
</file>

<file path=xl/sharedStrings.xml><?xml version="1.0" encoding="utf-8"?>
<sst xmlns="http://schemas.openxmlformats.org/spreadsheetml/2006/main" count="60" uniqueCount="29">
  <si>
    <t>Molecular Weight Calculator</t>
  </si>
  <si>
    <t>Name</t>
  </si>
  <si>
    <t>Formula</t>
  </si>
  <si>
    <t>Weight</t>
  </si>
  <si>
    <t>Normalized Formula</t>
  </si>
  <si>
    <t>Water</t>
  </si>
  <si>
    <t>H2O</t>
  </si>
  <si>
    <t>Copper Sulfate</t>
  </si>
  <si>
    <t>CuSO4</t>
  </si>
  <si>
    <t>Ethanol</t>
  </si>
  <si>
    <t>C2H5OH</t>
  </si>
  <si>
    <t>Sodium Carbonite</t>
  </si>
  <si>
    <t>Na2CO3</t>
  </si>
  <si>
    <t>Calcium Phosphate</t>
  </si>
  <si>
    <t>Ca3P2O8</t>
  </si>
  <si>
    <t>Aspirin</t>
  </si>
  <si>
    <t>C6H4OCOCH3CO2H</t>
  </si>
  <si>
    <t>Caffeine</t>
  </si>
  <si>
    <t>C8H10N4O2</t>
  </si>
  <si>
    <t>Benzene</t>
  </si>
  <si>
    <t>C6H6</t>
  </si>
  <si>
    <t>Invalid Formula</t>
  </si>
  <si>
    <t>2P3OH</t>
  </si>
  <si>
    <t>Try Another!</t>
  </si>
  <si>
    <t>NOTE: You may have to select a cell and press the F2 key to get it to recalculate!</t>
  </si>
  <si>
    <t>*** Cannot normalize ***</t>
  </si>
  <si>
    <t>C2H6O</t>
  </si>
  <si>
    <t>C9H8O4</t>
  </si>
  <si>
    <t>Invalid molecular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</si>
</sst>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b/>
      <i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i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24"/>
      </patternFill>
    </fill>
    <fill>
      <patternFill patternType="solid">
        <fgColor indexed="21"/>
        <bgColor indexed="24"/>
      </patternFill>
    </fill>
  </fills>
  <borders count="8">
    <border>
      <left/>
      <right/>
      <top/>
      <bottom/>
      <diagonal/>
    </border>
    <border>
      <left/>
      <right/>
      <top/>
      <bottom style="thick">
        <color indexed="21"/>
      </bottom>
      <diagonal/>
    </border>
    <border>
      <left style="thick">
        <color indexed="21"/>
      </left>
      <right/>
      <top style="thick">
        <color indexed="21"/>
      </top>
      <bottom/>
      <diagonal/>
    </border>
    <border>
      <left/>
      <right/>
      <top style="thick">
        <color indexed="21"/>
      </top>
      <bottom/>
      <diagonal/>
    </border>
    <border>
      <left/>
      <right style="thick">
        <color indexed="21"/>
      </right>
      <top style="thick">
        <color indexed="21"/>
      </top>
      <bottom/>
      <diagonal/>
    </border>
    <border>
      <left style="thick">
        <color indexed="21"/>
      </left>
      <right/>
      <top style="thin">
        <color indexed="15"/>
      </top>
      <bottom/>
      <diagonal/>
    </border>
    <border>
      <left/>
      <right/>
      <top style="thin">
        <color indexed="15"/>
      </top>
      <bottom/>
      <diagonal/>
    </border>
    <border>
      <left/>
      <right style="thick">
        <color indexed="21"/>
      </right>
      <top style="thin">
        <color indexed="15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5" fillId="3" borderId="6" xfId="0" applyFont="1" applyFill="1" applyBorder="1" applyAlignment="1" applyProtection="1">
      <alignment horizontal="center"/>
      <protection locked="0"/>
    </xf>
    <xf numFmtId="0" fontId="5" fillId="3" borderId="7" xfId="0" applyFont="1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3" fillId="2" borderId="2" xfId="0" applyFont="1" applyFill="1" applyBorder="1" applyAlignment="1" applyProtection="1">
      <alignment horizontal="center"/>
    </xf>
    <xf numFmtId="0" fontId="3" fillId="2" borderId="3" xfId="0" applyFont="1" applyFill="1" applyBorder="1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</xf>
    <xf numFmtId="0" fontId="4" fillId="0" borderId="0" xfId="0" applyFont="1" applyProtection="1"/>
    <xf numFmtId="0" fontId="5" fillId="3" borderId="5" xfId="0" applyFont="1" applyFill="1" applyBorder="1" applyAlignment="1" applyProtection="1"/>
    <xf numFmtId="0" fontId="5" fillId="3" borderId="6" xfId="0" applyFont="1" applyFill="1" applyBorder="1" applyAlignment="1" applyProtection="1"/>
    <xf numFmtId="0" fontId="5" fillId="3" borderId="6" xfId="0" applyFont="1" applyFill="1" applyBorder="1" applyAlignment="1" applyProtection="1">
      <alignment horizontal="center"/>
    </xf>
    <xf numFmtId="0" fontId="5" fillId="3" borderId="7" xfId="0" applyFont="1" applyFill="1" applyBorder="1" applyAlignment="1" applyProtection="1">
      <alignment horizontal="center"/>
    </xf>
    <xf numFmtId="0" fontId="5" fillId="3" borderId="6" xfId="0" applyFont="1" applyFill="1" applyBorder="1" applyAlignment="1" applyProtection="1">
      <protection locked="0"/>
    </xf>
    <xf numFmtId="0" fontId="1" fillId="0" borderId="1" xfId="0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tabSelected="1" workbookViewId="0">
      <selection activeCell="B7" sqref="B7"/>
    </sheetView>
  </sheetViews>
  <sheetFormatPr defaultRowHeight="18" x14ac:dyDescent="0.25"/>
  <cols>
    <col min="1" max="1" width="24" style="3" customWidth="1"/>
    <col min="2" max="2" width="33" style="3" customWidth="1"/>
    <col min="3" max="3" width="21.28515625" style="3" customWidth="1"/>
    <col min="4" max="4" width="30.28515625" style="3" customWidth="1"/>
    <col min="5" max="16384" width="9.140625" style="3"/>
  </cols>
  <sheetData>
    <row r="1" spans="1:4" ht="18.75" thickBot="1" x14ac:dyDescent="0.3">
      <c r="A1" s="13" t="s">
        <v>0</v>
      </c>
      <c r="B1" s="13"/>
      <c r="C1" s="13"/>
      <c r="D1" s="13"/>
    </row>
    <row r="2" spans="1:4" s="7" customFormat="1" ht="15.75" thickTop="1" x14ac:dyDescent="0.2">
      <c r="A2" s="4" t="s">
        <v>1</v>
      </c>
      <c r="B2" s="5" t="s">
        <v>2</v>
      </c>
      <c r="C2" s="5" t="s">
        <v>3</v>
      </c>
      <c r="D2" s="6" t="s">
        <v>4</v>
      </c>
    </row>
    <row r="3" spans="1:4" s="7" customFormat="1" ht="15" x14ac:dyDescent="0.2">
      <c r="A3" s="8" t="s">
        <v>5</v>
      </c>
      <c r="B3" s="9" t="s">
        <v>6</v>
      </c>
      <c r="C3" s="1">
        <f t="shared" ref="C3:C12" si="0">MolecularWeight(B3)</f>
        <v>18.015280000000001</v>
      </c>
      <c r="D3" s="2" t="str">
        <f t="shared" ref="D3:D11" si="1">NormalizeFormula(B3)</f>
        <v>*** Cannot normalize ***</v>
      </c>
    </row>
    <row r="4" spans="1:4" s="7" customFormat="1" ht="15" x14ac:dyDescent="0.2">
      <c r="A4" s="8" t="s">
        <v>7</v>
      </c>
      <c r="B4" s="9" t="s">
        <v>8</v>
      </c>
      <c r="C4" s="1">
        <f t="shared" si="0"/>
        <v>159.6096</v>
      </c>
      <c r="D4" s="2" t="str">
        <f t="shared" si="1"/>
        <v>*** Cannot normalize ***</v>
      </c>
    </row>
    <row r="5" spans="1:4" s="7" customFormat="1" ht="15" x14ac:dyDescent="0.2">
      <c r="A5" s="8" t="s">
        <v>9</v>
      </c>
      <c r="B5" s="9" t="s">
        <v>10</v>
      </c>
      <c r="C5" s="1">
        <f t="shared" si="0"/>
        <v>46.068440000000002</v>
      </c>
      <c r="D5" s="2" t="str">
        <f t="shared" si="1"/>
        <v>C2H6O</v>
      </c>
    </row>
    <row r="6" spans="1:4" s="7" customFormat="1" ht="15" x14ac:dyDescent="0.2">
      <c r="A6" s="8" t="s">
        <v>11</v>
      </c>
      <c r="B6" s="9" t="s">
        <v>12</v>
      </c>
      <c r="C6" s="1">
        <f t="shared" si="0"/>
        <v>105.98844</v>
      </c>
      <c r="D6" s="2" t="str">
        <f t="shared" si="1"/>
        <v>*** Cannot normalize ***</v>
      </c>
    </row>
    <row r="7" spans="1:4" s="7" customFormat="1" ht="15" x14ac:dyDescent="0.2">
      <c r="A7" s="8" t="s">
        <v>13</v>
      </c>
      <c r="B7" s="9" t="s">
        <v>14</v>
      </c>
      <c r="C7" s="1">
        <f t="shared" si="0"/>
        <v>310.17672199999998</v>
      </c>
      <c r="D7" s="2" t="str">
        <f t="shared" si="1"/>
        <v>*** Cannot normalize ***</v>
      </c>
    </row>
    <row r="8" spans="1:4" s="7" customFormat="1" ht="15" x14ac:dyDescent="0.2">
      <c r="A8" s="8" t="s">
        <v>15</v>
      </c>
      <c r="B8" s="9" t="s">
        <v>16</v>
      </c>
      <c r="C8" s="1">
        <f t="shared" si="0"/>
        <v>180.15742</v>
      </c>
      <c r="D8" s="2" t="str">
        <f t="shared" si="1"/>
        <v>C9H8O4</v>
      </c>
    </row>
    <row r="9" spans="1:4" s="7" customFormat="1" ht="15" x14ac:dyDescent="0.2">
      <c r="A9" s="8" t="s">
        <v>17</v>
      </c>
      <c r="B9" s="9" t="s">
        <v>18</v>
      </c>
      <c r="C9" s="1">
        <f t="shared" si="0"/>
        <v>194.19075999999998</v>
      </c>
      <c r="D9" s="2" t="str">
        <f t="shared" si="1"/>
        <v>*** Cannot normalize ***</v>
      </c>
    </row>
    <row r="10" spans="1:4" s="7" customFormat="1" ht="15" x14ac:dyDescent="0.2">
      <c r="A10" s="8" t="s">
        <v>19</v>
      </c>
      <c r="B10" s="9" t="s">
        <v>20</v>
      </c>
      <c r="C10" s="1">
        <f t="shared" si="0"/>
        <v>78.111840000000001</v>
      </c>
      <c r="D10" s="2" t="str">
        <f t="shared" si="1"/>
        <v>*** Cannot normalize ***</v>
      </c>
    </row>
    <row r="11" spans="1:4" s="7" customFormat="1" ht="15" x14ac:dyDescent="0.2">
      <c r="A11" s="8" t="s">
        <v>21</v>
      </c>
      <c r="B11" s="9" t="s">
        <v>22</v>
      </c>
      <c r="C11" s="1">
        <f t="shared" si="0"/>
        <v>-1</v>
      </c>
      <c r="D11" s="2" t="str">
        <f t="shared" si="1"/>
        <v>Invalid molecular formula</v>
      </c>
    </row>
    <row r="12" spans="1:4" s="7" customFormat="1" ht="15" x14ac:dyDescent="0.2">
      <c r="A12" s="8" t="s">
        <v>23</v>
      </c>
      <c r="B12" s="12"/>
      <c r="C12" s="1">
        <f t="shared" si="0"/>
        <v>0</v>
      </c>
      <c r="D12" s="2" t="str">
        <f t="shared" ref="D12" si="2">NormalizeFormula(B12)</f>
        <v>*** Cannot normalize ***</v>
      </c>
    </row>
    <row r="13" spans="1:4" x14ac:dyDescent="0.25">
      <c r="A13" s="14" t="s">
        <v>24</v>
      </c>
      <c r="B13" s="14"/>
      <c r="C13" s="14"/>
      <c r="D13" s="14"/>
    </row>
  </sheetData>
  <sheetProtection password="CC82" sheet="1" objects="1" scenarios="1"/>
  <mergeCells count="2">
    <mergeCell ref="A1:D1"/>
    <mergeCell ref="A13:D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3"/>
  <sheetViews>
    <sheetView workbookViewId="0">
      <selection activeCell="B12" sqref="B12"/>
    </sheetView>
  </sheetViews>
  <sheetFormatPr defaultRowHeight="18" x14ac:dyDescent="0.25"/>
  <cols>
    <col min="1" max="1" width="24" style="3" customWidth="1"/>
    <col min="2" max="2" width="33" style="3" customWidth="1"/>
    <col min="3" max="3" width="21.28515625" style="3" customWidth="1"/>
    <col min="4" max="4" width="30.28515625" style="3" customWidth="1"/>
    <col min="5" max="16384" width="9.140625" style="3"/>
  </cols>
  <sheetData>
    <row r="1" spans="1:4" ht="18.75" thickBot="1" x14ac:dyDescent="0.3">
      <c r="A1" s="13" t="s">
        <v>0</v>
      </c>
      <c r="B1" s="13"/>
      <c r="C1" s="13"/>
      <c r="D1" s="13"/>
    </row>
    <row r="2" spans="1:4" s="7" customFormat="1" ht="15.75" thickTop="1" x14ac:dyDescent="0.2">
      <c r="A2" s="4" t="s">
        <v>1</v>
      </c>
      <c r="B2" s="5" t="s">
        <v>2</v>
      </c>
      <c r="C2" s="5" t="s">
        <v>3</v>
      </c>
      <c r="D2" s="6" t="s">
        <v>4</v>
      </c>
    </row>
    <row r="3" spans="1:4" s="7" customFormat="1" ht="15" x14ac:dyDescent="0.2">
      <c r="A3" s="8" t="s">
        <v>5</v>
      </c>
      <c r="B3" s="9" t="s">
        <v>6</v>
      </c>
      <c r="C3" s="10">
        <v>18.015280000000001</v>
      </c>
      <c r="D3" s="11" t="s">
        <v>25</v>
      </c>
    </row>
    <row r="4" spans="1:4" s="7" customFormat="1" ht="15" x14ac:dyDescent="0.2">
      <c r="A4" s="8" t="s">
        <v>7</v>
      </c>
      <c r="B4" s="9" t="s">
        <v>8</v>
      </c>
      <c r="C4" s="10">
        <v>159.6096</v>
      </c>
      <c r="D4" s="11" t="s">
        <v>25</v>
      </c>
    </row>
    <row r="5" spans="1:4" s="7" customFormat="1" ht="15" x14ac:dyDescent="0.2">
      <c r="A5" s="8" t="s">
        <v>9</v>
      </c>
      <c r="B5" s="9" t="s">
        <v>10</v>
      </c>
      <c r="C5" s="10">
        <v>46.068440000000002</v>
      </c>
      <c r="D5" s="11" t="s">
        <v>26</v>
      </c>
    </row>
    <row r="6" spans="1:4" s="7" customFormat="1" ht="15" x14ac:dyDescent="0.2">
      <c r="A6" s="8" t="s">
        <v>11</v>
      </c>
      <c r="B6" s="9" t="s">
        <v>12</v>
      </c>
      <c r="C6" s="10">
        <v>105.98844</v>
      </c>
      <c r="D6" s="11" t="s">
        <v>25</v>
      </c>
    </row>
    <row r="7" spans="1:4" s="7" customFormat="1" ht="15" x14ac:dyDescent="0.2">
      <c r="A7" s="8" t="s">
        <v>13</v>
      </c>
      <c r="B7" s="9" t="s">
        <v>14</v>
      </c>
      <c r="C7" s="10">
        <v>310.17672199999998</v>
      </c>
      <c r="D7" s="11" t="s">
        <v>25</v>
      </c>
    </row>
    <row r="8" spans="1:4" s="7" customFormat="1" ht="15" x14ac:dyDescent="0.2">
      <c r="A8" s="8" t="s">
        <v>15</v>
      </c>
      <c r="B8" s="9" t="s">
        <v>16</v>
      </c>
      <c r="C8" s="10">
        <v>180.15742</v>
      </c>
      <c r="D8" s="11" t="s">
        <v>27</v>
      </c>
    </row>
    <row r="9" spans="1:4" s="7" customFormat="1" ht="15" x14ac:dyDescent="0.2">
      <c r="A9" s="8" t="s">
        <v>17</v>
      </c>
      <c r="B9" s="9" t="s">
        <v>18</v>
      </c>
      <c r="C9" s="10">
        <v>194.19075999999998</v>
      </c>
      <c r="D9" s="11" t="s">
        <v>25</v>
      </c>
    </row>
    <row r="10" spans="1:4" s="7" customFormat="1" ht="15" x14ac:dyDescent="0.2">
      <c r="A10" s="8" t="s">
        <v>19</v>
      </c>
      <c r="B10" s="9" t="s">
        <v>20</v>
      </c>
      <c r="C10" s="10">
        <v>78.111840000000001</v>
      </c>
      <c r="D10" s="11" t="s">
        <v>25</v>
      </c>
    </row>
    <row r="11" spans="1:4" s="7" customFormat="1" ht="15" x14ac:dyDescent="0.2">
      <c r="A11" s="8" t="s">
        <v>21</v>
      </c>
      <c r="B11" s="9" t="s">
        <v>22</v>
      </c>
      <c r="C11" s="10">
        <v>-1</v>
      </c>
      <c r="D11" s="11" t="s">
        <v>28</v>
      </c>
    </row>
    <row r="12" spans="1:4" s="7" customFormat="1" ht="15" x14ac:dyDescent="0.2">
      <c r="A12" s="8" t="s">
        <v>23</v>
      </c>
      <c r="B12" s="9"/>
      <c r="C12" s="10">
        <v>0</v>
      </c>
      <c r="D12" s="11" t="s">
        <v>25</v>
      </c>
    </row>
    <row r="13" spans="1:4" x14ac:dyDescent="0.25">
      <c r="A13" s="14" t="s">
        <v>24</v>
      </c>
      <c r="B13" s="14"/>
      <c r="C13" s="14"/>
      <c r="D13" s="14"/>
    </row>
  </sheetData>
  <sheetProtection password="CC82" sheet="1" objects="1" scenarios="1"/>
  <mergeCells count="2">
    <mergeCell ref="A1:D1"/>
    <mergeCell ref="A13:D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Your Calculator</vt:lpstr>
      <vt:lpstr>Expected 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thaworth</dc:creator>
  <cp:lastModifiedBy>Haworth, Tony</cp:lastModifiedBy>
  <dcterms:created xsi:type="dcterms:W3CDTF">2009-01-28T19:31:05Z</dcterms:created>
  <dcterms:modified xsi:type="dcterms:W3CDTF">2013-02-02T16:48:10Z</dcterms:modified>
</cp:coreProperties>
</file>